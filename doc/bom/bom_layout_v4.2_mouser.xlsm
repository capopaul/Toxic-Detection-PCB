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aul/Documents/Mes-Projets/2026/Toxic_Detection_PCB/doc/bom/"/>
    </mc:Choice>
  </mc:AlternateContent>
  <xr:revisionPtr revIDLastSave="0" documentId="13_ncr:9_{94AF9522-8F7F-D449-A2AE-E7FD985B80D2}" xr6:coauthVersionLast="47" xr6:coauthVersionMax="47" xr10:uidLastSave="{00000000-0000-0000-0000-000000000000}"/>
  <bookViews>
    <workbookView xWindow="-20" yWindow="600" windowWidth="19220" windowHeight="19140" xr2:uid="{ED2014C4-A163-7541-8EA1-BC6973405176}"/>
  </bookViews>
  <sheets>
    <sheet name="bom_layout_v4.2_mouser" sheetId="1" r:id="rId1"/>
  </sheets>
  <calcPr calcId="0"/>
</workbook>
</file>

<file path=xl/calcChain.xml><?xml version="1.0" encoding="utf-8"?>
<calcChain xmlns="http://schemas.openxmlformats.org/spreadsheetml/2006/main">
  <c r="F46" i="1" l="1"/>
  <c r="F45" i="1"/>
  <c r="F47" i="1"/>
  <c r="F44" i="1"/>
  <c r="F7" i="1"/>
  <c r="F6" i="1"/>
  <c r="F5" i="1"/>
  <c r="F4" i="1"/>
  <c r="F3" i="1"/>
  <c r="F12" i="1" s="1"/>
</calcChain>
</file>

<file path=xl/sharedStrings.xml><?xml version="1.0" encoding="utf-8"?>
<sst xmlns="http://schemas.openxmlformats.org/spreadsheetml/2006/main" count="192" uniqueCount="171">
  <si>
    <t>Reference</t>
  </si>
  <si>
    <t>Qty</t>
  </si>
  <si>
    <t>Value</t>
  </si>
  <si>
    <t>DNP</t>
  </si>
  <si>
    <t>Footprint</t>
  </si>
  <si>
    <t>ANT1</t>
  </si>
  <si>
    <t>SAM-M10Q-00B</t>
  </si>
  <si>
    <t>GNSS module and antenna:SAMM10Q00B_custom</t>
  </si>
  <si>
    <t>C1,C3,C4,C6,C7,C9,C10,C11,C12,C13,C14,C15,C16,C17,C18,C19,C20,C27,C31,C32,C34,C36,C37,C38,C39,C40,C41,C49,C51,C54,C55</t>
  </si>
  <si>
    <t>100nF</t>
  </si>
  <si>
    <t>Capacitor_SMD:C_0805_2012Metric_Pad1.18x1.45mm_HandSolder</t>
  </si>
  <si>
    <t>C2,C46,C50,C52,C53</t>
  </si>
  <si>
    <t>22uF</t>
  </si>
  <si>
    <t>C5</t>
  </si>
  <si>
    <t>4.7uF</t>
  </si>
  <si>
    <t>C8,C25,C48,C56,C57,C58,C59,C60,C61,C62,C63,C64,C65,C66,C67,C68,C69,C70,C71,C72,C73,C74,C75,C76,C77,C78</t>
  </si>
  <si>
    <t>1uF</t>
  </si>
  <si>
    <t>C21,C22,C23,C42,C43</t>
  </si>
  <si>
    <t>10uF</t>
  </si>
  <si>
    <t>C24</t>
  </si>
  <si>
    <t>220pF</t>
  </si>
  <si>
    <t>C26,C35</t>
  </si>
  <si>
    <t>16pF</t>
  </si>
  <si>
    <t>C28,C33,C45</t>
  </si>
  <si>
    <t>2.2uF</t>
  </si>
  <si>
    <t>C29,C30</t>
  </si>
  <si>
    <t>5pF</t>
  </si>
  <si>
    <t>C44</t>
  </si>
  <si>
    <t>C47</t>
  </si>
  <si>
    <t>100pF</t>
  </si>
  <si>
    <t>D1,D2,D3</t>
  </si>
  <si>
    <t>DT1042-02SR-7</t>
  </si>
  <si>
    <t>USB_ESD_protection:DT104202SR7</t>
  </si>
  <si>
    <t>D4,D5</t>
  </si>
  <si>
    <t>1N5819</t>
  </si>
  <si>
    <t>Diode_SMD:D_SOD-123</t>
  </si>
  <si>
    <t>D6</t>
  </si>
  <si>
    <t>LED Green:LEDC2012X120N</t>
  </si>
  <si>
    <t>D7,D8</t>
  </si>
  <si>
    <t>GREEN_LED_2mA</t>
  </si>
  <si>
    <t>F1</t>
  </si>
  <si>
    <t>Polyfuse</t>
  </si>
  <si>
    <t>Fuse:Fuse_1210_3225Metric_Pad1.42x2.65mm_HandSolder</t>
  </si>
  <si>
    <t>IC1</t>
  </si>
  <si>
    <t>ESP32-WROOM-32E-N16</t>
  </si>
  <si>
    <t>ESP32-WROOM-32E-N16:ESP32WROOM32EN16</t>
  </si>
  <si>
    <t>IC2</t>
  </si>
  <si>
    <t>STM32H755ZIT3</t>
  </si>
  <si>
    <t>Package_QFP:LQFP-144_20x20mm_P0.5mm</t>
  </si>
  <si>
    <t>IC3</t>
  </si>
  <si>
    <t>AT25SF321B-SSHB-B</t>
  </si>
  <si>
    <t>NOR Flash:SOIC127P600X175-8N</t>
  </si>
  <si>
    <t>IC4,IC5,IC6</t>
  </si>
  <si>
    <t>ADS7828E_2K5</t>
  </si>
  <si>
    <t>ADC ADS7828:SOP65P640X120-16N</t>
  </si>
  <si>
    <t>IC7</t>
  </si>
  <si>
    <t>ESDA6V1U1RL</t>
  </si>
  <si>
    <t>TVS_diodes:SOIC127P600X175-8N</t>
  </si>
  <si>
    <t>IC8</t>
  </si>
  <si>
    <t>AZ1084CD-3.3TRG1</t>
  </si>
  <si>
    <t>LDO 3.3V:AZ1084CD33TRG1</t>
  </si>
  <si>
    <t>IC9</t>
  </si>
  <si>
    <t>TPS2054BDR</t>
  </si>
  <si>
    <t>Power Gating TPS2054BDR:SOIC127P600X175-16N</t>
  </si>
  <si>
    <t>J1</t>
  </si>
  <si>
    <t>Conn_01x11_Pin</t>
  </si>
  <si>
    <t>Connector_PinHeader_2.54mm:PinHeader_1x11_P2.54mm_Vertical</t>
  </si>
  <si>
    <t>J2</t>
  </si>
  <si>
    <t>Conn_01x10_Pin</t>
  </si>
  <si>
    <t>Connector_PinHeader_2.54mm:PinHeader_1x10_P2.54mm_Vertical</t>
  </si>
  <si>
    <t>J3</t>
  </si>
  <si>
    <t>Conn_01x14_Pin</t>
  </si>
  <si>
    <t>Connector_PinHeader_2.54mm:PinHeader_2x07_P2.54mm_Vertical</t>
  </si>
  <si>
    <t>J4</t>
  </si>
  <si>
    <t>Conn_01x16_Pin</t>
  </si>
  <si>
    <t>Connector_PinHeader_2.54mm:PinHeader_2x08_P2.54mm_Vertical</t>
  </si>
  <si>
    <t>J5</t>
  </si>
  <si>
    <t>Conn_01x18_Pin</t>
  </si>
  <si>
    <t>Connector_PinHeader_2.54mm:PinHeader_2x09_P2.54mm_Vertical</t>
  </si>
  <si>
    <t>J6,J7</t>
  </si>
  <si>
    <t>79107-7205</t>
  </si>
  <si>
    <t>AFE Connector 79107-7205:791077205</t>
  </si>
  <si>
    <t>J8</t>
  </si>
  <si>
    <t>Conn_01x06_Pin</t>
  </si>
  <si>
    <t>Connector_PinHeader_2.54mm:PinHeader_2x03_P2.54mm_Vertical</t>
  </si>
  <si>
    <t>J9,J10</t>
  </si>
  <si>
    <t>Conn_01x04_Pin</t>
  </si>
  <si>
    <t>Connector_PinHeader_2.54mm:PinHeader_1x04_P2.54mm_Vertical</t>
  </si>
  <si>
    <t>J11</t>
  </si>
  <si>
    <t>USB_C_Receptacle</t>
  </si>
  <si>
    <t>Connector_USB:USB_C_Receptacle_GCT_USB4105-xx-A_16P_TopMnt_Horizontal</t>
  </si>
  <si>
    <t>J12</t>
  </si>
  <si>
    <t>DM3AT-SF-PEJM5</t>
  </si>
  <si>
    <t>SD card holder:DM3ATSFPEJM5</t>
  </si>
  <si>
    <t>J13</t>
  </si>
  <si>
    <t>Conn_01x03_Pin</t>
  </si>
  <si>
    <t>Connector_PinHeader_2.54mm:PinHeader_1x03_P2.54mm_Vertical</t>
  </si>
  <si>
    <t>J14,J15,J16,J18</t>
  </si>
  <si>
    <t>Conn_01x01_Pin</t>
  </si>
  <si>
    <t>Connector_PinSocket_2.54mm:PinSocket_1x01_P2.54mm_Vertical</t>
  </si>
  <si>
    <t>J20</t>
  </si>
  <si>
    <t>Conn_01x02_Pin</t>
  </si>
  <si>
    <t>Connector_PinHeader_2.54mm:PinHeader_1x02_P2.54mm_Vertical</t>
  </si>
  <si>
    <t>J21</t>
  </si>
  <si>
    <t>FTSH-105-01-L-DV-K</t>
  </si>
  <si>
    <t>jtag connector:FTSH10501LDVK</t>
  </si>
  <si>
    <t>JP1,JP2</t>
  </si>
  <si>
    <t>Jumper_3_Open</t>
  </si>
  <si>
    <t>L1</t>
  </si>
  <si>
    <t>2.2uH, 1.2A</t>
  </si>
  <si>
    <t>Inductor_SMD:L_0805_2012Metric_Pad1.05x1.20mm_HandSolder</t>
  </si>
  <si>
    <t>PS1</t>
  </si>
  <si>
    <t>AP2210K-5.0TRG1</t>
  </si>
  <si>
    <t>LDO 5V:SOT95P282X145-5N</t>
  </si>
  <si>
    <t>Q1,Q2</t>
  </si>
  <si>
    <t>BSS138-G</t>
  </si>
  <si>
    <t>NMOS-BSS138G:SOT96P237X111-3N</t>
  </si>
  <si>
    <t>10k</t>
  </si>
  <si>
    <t>Resistor_SMD:R_0805_2012Metric_Pad1.20x1.40mm_HandSolder</t>
  </si>
  <si>
    <t>R3,R7,R8,R10,R13</t>
  </si>
  <si>
    <t>R4,R5,R6,R11,R12,R21,R22,R28</t>
  </si>
  <si>
    <t>R23,R25</t>
  </si>
  <si>
    <t>5.1k</t>
  </si>
  <si>
    <t>2k</t>
  </si>
  <si>
    <t>R31,R32,R34,R35,R36,R37,R38,R39,R40,R41,R42,R43,R44,R45,R46,R47,R48,R49,R50,R51,R52,R53,R54,R55</t>
  </si>
  <si>
    <t>SW1,SW2</t>
  </si>
  <si>
    <t>SW_Push</t>
  </si>
  <si>
    <t>Button_Switch_THT:SW_PUSH_6mm</t>
  </si>
  <si>
    <t>TP1,TP2,TP3,TP4,TP5,TP6,TP7,TP8,TP9,TP10,TP11,TP12,TP13,TP14,TP15,TP16,TP17,TP18,TP19,TP20,TP21,TP22,TP23,TP24,TP25</t>
  </si>
  <si>
    <t>TestPoint_Small</t>
  </si>
  <si>
    <t>TestPoint:TestPoint_Pad_D1.0mm</t>
  </si>
  <si>
    <t>Y1</t>
  </si>
  <si>
    <t>ECS-250-18-36B2-CTY-TR</t>
  </si>
  <si>
    <t>Quartz 25MHz:ECS2501836B2CTYTR_custom</t>
  </si>
  <si>
    <t>Y2</t>
  </si>
  <si>
    <t>CM9V-T1A-32.768KHZ-12.5PF-20PPM-TA-QC</t>
  </si>
  <si>
    <t>Quartz 32.768KHz:CM9VT1A</t>
  </si>
  <si>
    <t>In stock already</t>
  </si>
  <si>
    <t>https://www.mouser.com/ProductDetail/Diodes-Incorporated/AZ1084CD-3.3TRG1?qs=FKu9oBikfSkIi2fxMEvJQA%3D%3D</t>
  </si>
  <si>
    <t>Mouser Order Qty</t>
  </si>
  <si>
    <t>Mouser link</t>
  </si>
  <si>
    <t>https://www.mouser.com/ProductDetail/Samtec/FTSH-105-01-L-DV-K?qs=%252B5JSS813miOqo3Vy%252BvhCFg%3D%3D</t>
  </si>
  <si>
    <t>https://www.mouser.com/ProductDetail/Kingbright/APTD2012LCGCK?qs=AQlKX63v8RvNHN%2F9EGvNTg%3D%3D</t>
  </si>
  <si>
    <t>https://www.mouser.com/ProductDetail/Renesas-Dialog/AT25SF321B-SSHB-B?qs=IS%252B4QmGtzzoKA0j9aoz1jA%3D%3D</t>
  </si>
  <si>
    <t>https://www.mouser.com/ProductDetail/u-blox/MAX-M10M-00B?qs=A6eO%252BMLsxmQGh8%2FJ1ZmexA%3D%3D</t>
  </si>
  <si>
    <t>https://www.mouser.com/ProductDetail/Diodes-Incorporated/AP2210K-5.0TRG1?qs=x6A8l6qLYDCAXUjYnFg7HQ%3D%3D</t>
  </si>
  <si>
    <t>www.mouser.com/ProductDetail/Texas-Instruments/TPS2054BDR?qs=D8ivcil3VuyT4fCLpnAlBw%3D%3D</t>
  </si>
  <si>
    <t>https://www.mouser.com/ProductDetail/Molex/79107-7205?qs=twZKxcNrvDYEJ65%2FtIoaGw%3D%3D</t>
  </si>
  <si>
    <t>https://www.mouser.com/ProductDetail/Comchip-Technology/BSS138-G?qs=PqoDHHvF64%252BWsXO1u6lRRQ%3D%3D</t>
  </si>
  <si>
    <t>https://www.mouser.com/ProductDetail/Diodes-Incorporated/DT1042-02SR-7?qs=d9U39LAeJF0XUzMTT2aorQ%3D%3D</t>
  </si>
  <si>
    <t>https://www.mouser.com/ProductDetail/ECS/ECS-250-18-36B2-CTY-TR?qs=aP1CjGhiNiFniXuPEM212w%3D%3D</t>
  </si>
  <si>
    <t>https://www.mouser.com/ProductDetail/Micro-Crystal/CM9V-T1A-32.768kHz-12.5pF-20PPM-TA-QC?qs=7bTaA%2FLYtSaZfaN72uDr4g%3D%3D</t>
  </si>
  <si>
    <t>https://www.mouser.com/ProductDetail/STMicroelectronics/STM32H755ZIT3?qs=sPbYRqrBIVmQlNF6lTdaDQ%3D%3D</t>
  </si>
  <si>
    <t>https://www.mouser.com/ProductDetail/STMicroelectronics/ESDA6V1U1RL?qs=jM0G0S7oE2ijLJcZLKDOhQ%3D%3D</t>
  </si>
  <si>
    <t>https://www.mouser.com/ProductDetail/Texas-Instruments/ADS7828E-2K5?qs=%252BvKcWiXw%252BzTDfgQYOO5VWA%3D%3D</t>
  </si>
  <si>
    <t>https://www.mouser.com/ProductDetail/Hirose-Connector/DM3AT-SF-PEJM5?qs=LZSZKJVF%252B2WTDKp%252BR7IYAQ%3D%3D</t>
  </si>
  <si>
    <t>https://www.mouser.com/ProductDetail/Espressif-Systems/ESP32-WROOM-32E-N16?qs=Li%252BoUPsLEnsC4cA%252BUYB2Bw%3D%3D</t>
  </si>
  <si>
    <t>https://www.mouser.com/ProductDetail/KYOCERA-AVX/KGM21BCG2A221JM?qs=sGAEpiMZZMuMW9TJLBQkXqLYvz3DzaXfQVLklFaObU4%3D</t>
  </si>
  <si>
    <t>https://www.mouser.com/ProductDetail/KEMET/C0805C160K3HACTU?qs=W0yvOO0ixfHxDqYJqurddw%3D%3D</t>
  </si>
  <si>
    <t>https://www.mouser.com/ProductDetail/Walsin/0805B225K100CT?qs=fIkAfuXiAQIAYTg2Qx2YBg%3D%3D</t>
  </si>
  <si>
    <t>https://www.mouser.com/ProductDetail/KYOCERA-AVX/08053A5R0CAT2A?qs=bb%252B1MDm7h6IsPEvrtWkfEA%3D%3D</t>
  </si>
  <si>
    <t>https://www.mouser.com/ProductDetail/KEMET/C0805C101K5HACTU?qs=W0yvOO0ixfFGnDz2NfWDlg%3D%3D</t>
  </si>
  <si>
    <t>https://www.mouser.com/ProductDetail/onsemi/SS25FA?qs=R26iFe%2FkX%2FL1fF1k08x8zQ%3D%3D</t>
  </si>
  <si>
    <t>https://www.mouser.com/ProductDetail/Kingbright/APT2012LSECK-J3-PRV?qs=6oMev5NRZMEkGJkKIsAalQ%3D%3D</t>
  </si>
  <si>
    <t>https://www.mouser.com/ProductDetail/Littelfuse/1210L110-12WR?qs=TVaBpCI%2FeOiQpakeccCs1g%3D%3D</t>
  </si>
  <si>
    <t>https://www.mouser.com/ProductDetail/Murata-Electronics/LQM21PN2R2MGHL?qs=wM4AZDOQ8I6HkSUIfztW6Q%3D%3D</t>
  </si>
  <si>
    <t>R1,R2,R9,R18,R19,R20,R24,R26,R27,R14,R15,R16,R17</t>
  </si>
  <si>
    <t>RED_LED_2mA</t>
  </si>
  <si>
    <t>R29,R30,R33</t>
  </si>
  <si>
    <t>https://www.mouser.com/ProductDetail/KOA-Speer/RK73H2ATTD6R20F?qs=sGAEpiMZZMvdGkrng054t5Icag9cXfRIRGjh%252B2uAGGI%3D</t>
  </si>
  <si>
    <t>https://www.mouser.com/ProductDetail/TE-Connectivity-Holsworthy/CRG0805F2K0?qs=sGAEpiMZZMvdGkrng054t%252BGQy31YLTNMYSLM92s9O68%3D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</si>
</sst>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2">
    <xf numFmtId="0" fontId="0" fillId="0" borderId="0" xfId="0"/>
    <xf numFmtId="0" fontId="18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ouser.com/ProductDetail/Littelfuse/1210L110-12WR?qs=TVaBpCI%2FeOiQpakeccCs1g%3D%3D" TargetMode="External"/><Relationship Id="rId2" Type="http://schemas.openxmlformats.org/officeDocument/2006/relationships/hyperlink" Target="https://www.mouser.com/ProductDetail/Walsin/0805B225K100CT?qs=fIkAfuXiAQIAYTg2Qx2YBg%3D%3D" TargetMode="External"/><Relationship Id="rId1" Type="http://schemas.openxmlformats.org/officeDocument/2006/relationships/hyperlink" Target="https://www.mouser.com/ProductDetail/KYOCERA-AVX/KGM21BCG2A221JM?qs=sGAEpiMZZMuMW9TJLBQkXqLYvz3DzaXfQVLklFaObU4%3D" TargetMode="External"/><Relationship Id="rId4" Type="http://schemas.openxmlformats.org/officeDocument/2006/relationships/hyperlink" Target="https://www.mouser.com/ProductDetail/TE-Connectivity-Holsworthy/CRG0805F2K0?qs=sGAEpiMZZMvdGkrng054t%252BGQy31YLTNMYSLM92s9O68%3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0F9C8-2F36-9D4C-A064-37F99C1E48FF}">
  <dimension ref="A1:H53"/>
  <sheetViews>
    <sheetView tabSelected="1" zoomScale="80" zoomScaleNormal="80" workbookViewId="0">
      <selection activeCell="G15" sqref="G15"/>
    </sheetView>
  </sheetViews>
  <sheetFormatPr baseColWidth="10" defaultRowHeight="16" x14ac:dyDescent="0.2"/>
  <cols>
    <col min="1" max="2" width="18.33203125" customWidth="1"/>
    <col min="3" max="3" width="39.6640625" customWidth="1"/>
    <col min="5" max="5" width="61" customWidth="1"/>
    <col min="6" max="6" width="16" customWidth="1"/>
    <col min="7" max="7" width="17" customWidth="1"/>
    <col min="8" max="8" width="29.6640625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137</v>
      </c>
      <c r="G1" t="s">
        <v>139</v>
      </c>
      <c r="H1" t="s">
        <v>140</v>
      </c>
    </row>
    <row r="2" spans="1:8" x14ac:dyDescent="0.2">
      <c r="A2" t="s">
        <v>5</v>
      </c>
      <c r="B2">
        <v>1</v>
      </c>
      <c r="C2" t="s">
        <v>6</v>
      </c>
      <c r="E2" t="s">
        <v>7</v>
      </c>
      <c r="F2">
        <v>0</v>
      </c>
      <c r="G2">
        <v>2</v>
      </c>
      <c r="H2" t="s">
        <v>144</v>
      </c>
    </row>
    <row r="3" spans="1:8" x14ac:dyDescent="0.2">
      <c r="A3" t="s">
        <v>8</v>
      </c>
      <c r="B3">
        <v>31</v>
      </c>
      <c r="C3" t="s">
        <v>9</v>
      </c>
      <c r="E3" t="s">
        <v>10</v>
      </c>
      <c r="F3">
        <f>100-12</f>
        <v>88</v>
      </c>
    </row>
    <row r="4" spans="1:8" x14ac:dyDescent="0.2">
      <c r="A4" t="s">
        <v>11</v>
      </c>
      <c r="B4">
        <v>5</v>
      </c>
      <c r="C4" t="s">
        <v>12</v>
      </c>
      <c r="E4" t="s">
        <v>10</v>
      </c>
      <c r="F4">
        <f>10-1</f>
        <v>9</v>
      </c>
    </row>
    <row r="5" spans="1:8" x14ac:dyDescent="0.2">
      <c r="A5" t="s">
        <v>13</v>
      </c>
      <c r="B5">
        <v>1</v>
      </c>
      <c r="C5" t="s">
        <v>14</v>
      </c>
      <c r="E5" t="s">
        <v>10</v>
      </c>
      <c r="F5">
        <f>100-3</f>
        <v>97</v>
      </c>
    </row>
    <row r="6" spans="1:8" x14ac:dyDescent="0.2">
      <c r="A6" t="s">
        <v>15</v>
      </c>
      <c r="B6">
        <v>26</v>
      </c>
      <c r="C6" t="s">
        <v>16</v>
      </c>
      <c r="E6" t="s">
        <v>10</v>
      </c>
      <c r="F6">
        <f>100-8</f>
        <v>92</v>
      </c>
    </row>
    <row r="7" spans="1:8" x14ac:dyDescent="0.2">
      <c r="A7" t="s">
        <v>17</v>
      </c>
      <c r="B7">
        <v>5</v>
      </c>
      <c r="C7" t="s">
        <v>18</v>
      </c>
      <c r="E7" t="s">
        <v>10</v>
      </c>
      <c r="F7">
        <f>100-10</f>
        <v>90</v>
      </c>
    </row>
    <row r="8" spans="1:8" x14ac:dyDescent="0.2">
      <c r="A8" t="s">
        <v>19</v>
      </c>
      <c r="B8">
        <v>1</v>
      </c>
      <c r="C8" t="s">
        <v>20</v>
      </c>
      <c r="E8" t="s">
        <v>10</v>
      </c>
      <c r="F8">
        <v>0</v>
      </c>
      <c r="G8">
        <v>10</v>
      </c>
      <c r="H8" s="1" t="s">
        <v>157</v>
      </c>
    </row>
    <row r="9" spans="1:8" x14ac:dyDescent="0.2">
      <c r="A9" t="s">
        <v>21</v>
      </c>
      <c r="B9">
        <v>2</v>
      </c>
      <c r="C9" t="s">
        <v>22</v>
      </c>
      <c r="E9" t="s">
        <v>10</v>
      </c>
      <c r="F9">
        <v>0</v>
      </c>
      <c r="G9">
        <v>10</v>
      </c>
      <c r="H9" t="s">
        <v>158</v>
      </c>
    </row>
    <row r="10" spans="1:8" x14ac:dyDescent="0.2">
      <c r="A10" t="s">
        <v>23</v>
      </c>
      <c r="B10">
        <v>3</v>
      </c>
      <c r="C10" t="s">
        <v>24</v>
      </c>
      <c r="E10" t="s">
        <v>10</v>
      </c>
      <c r="F10">
        <v>0</v>
      </c>
      <c r="G10">
        <v>10</v>
      </c>
      <c r="H10" s="1" t="s">
        <v>159</v>
      </c>
    </row>
    <row r="11" spans="1:8" x14ac:dyDescent="0.2">
      <c r="A11" t="s">
        <v>25</v>
      </c>
      <c r="B11">
        <v>2</v>
      </c>
      <c r="C11" t="s">
        <v>26</v>
      </c>
      <c r="E11" t="s">
        <v>10</v>
      </c>
      <c r="F11">
        <v>0</v>
      </c>
      <c r="G11">
        <v>10</v>
      </c>
      <c r="H11" t="s">
        <v>160</v>
      </c>
    </row>
    <row r="12" spans="1:8" x14ac:dyDescent="0.2">
      <c r="A12" t="s">
        <v>27</v>
      </c>
      <c r="B12">
        <v>1</v>
      </c>
      <c r="C12" t="s">
        <v>9</v>
      </c>
      <c r="D12" t="s">
        <v>3</v>
      </c>
      <c r="E12" t="s">
        <v>10</v>
      </c>
      <c r="F12">
        <f>F3</f>
        <v>88</v>
      </c>
    </row>
    <row r="13" spans="1:8" x14ac:dyDescent="0.2">
      <c r="A13" t="s">
        <v>28</v>
      </c>
      <c r="B13">
        <v>1</v>
      </c>
      <c r="C13" t="s">
        <v>29</v>
      </c>
      <c r="E13" t="s">
        <v>10</v>
      </c>
      <c r="F13">
        <v>0</v>
      </c>
      <c r="G13">
        <v>10</v>
      </c>
      <c r="H13" t="s">
        <v>161</v>
      </c>
    </row>
    <row r="14" spans="1:8" x14ac:dyDescent="0.2">
      <c r="A14" t="s">
        <v>30</v>
      </c>
      <c r="B14">
        <v>3</v>
      </c>
      <c r="C14" t="s">
        <v>31</v>
      </c>
      <c r="E14" t="s">
        <v>32</v>
      </c>
      <c r="F14">
        <v>0</v>
      </c>
      <c r="G14">
        <v>10</v>
      </c>
      <c r="H14" t="s">
        <v>149</v>
      </c>
    </row>
    <row r="15" spans="1:8" x14ac:dyDescent="0.2">
      <c r="A15" t="s">
        <v>33</v>
      </c>
      <c r="B15">
        <v>2</v>
      </c>
      <c r="C15" t="s">
        <v>34</v>
      </c>
      <c r="E15" t="s">
        <v>35</v>
      </c>
      <c r="G15">
        <v>10</v>
      </c>
      <c r="H15" t="s">
        <v>162</v>
      </c>
    </row>
    <row r="16" spans="1:8" x14ac:dyDescent="0.2">
      <c r="A16" t="s">
        <v>36</v>
      </c>
      <c r="B16">
        <v>1</v>
      </c>
      <c r="C16" t="s">
        <v>167</v>
      </c>
      <c r="E16" t="s">
        <v>37</v>
      </c>
      <c r="G16">
        <v>10</v>
      </c>
      <c r="H16" t="s">
        <v>163</v>
      </c>
    </row>
    <row r="17" spans="1:8" x14ac:dyDescent="0.2">
      <c r="A17" t="s">
        <v>38</v>
      </c>
      <c r="B17">
        <v>2</v>
      </c>
      <c r="C17" t="s">
        <v>39</v>
      </c>
      <c r="E17" t="s">
        <v>37</v>
      </c>
      <c r="G17">
        <v>10</v>
      </c>
      <c r="H17" t="s">
        <v>142</v>
      </c>
    </row>
    <row r="18" spans="1:8" x14ac:dyDescent="0.2">
      <c r="A18" t="s">
        <v>40</v>
      </c>
      <c r="B18">
        <v>1</v>
      </c>
      <c r="C18" t="s">
        <v>41</v>
      </c>
      <c r="E18" t="s">
        <v>42</v>
      </c>
      <c r="G18">
        <v>5</v>
      </c>
      <c r="H18" s="1" t="s">
        <v>164</v>
      </c>
    </row>
    <row r="19" spans="1:8" x14ac:dyDescent="0.2">
      <c r="A19" t="s">
        <v>43</v>
      </c>
      <c r="B19">
        <v>1</v>
      </c>
      <c r="C19" t="s">
        <v>44</v>
      </c>
      <c r="E19" t="s">
        <v>45</v>
      </c>
      <c r="G19">
        <v>2</v>
      </c>
      <c r="H19" t="s">
        <v>156</v>
      </c>
    </row>
    <row r="20" spans="1:8" x14ac:dyDescent="0.2">
      <c r="A20" t="s">
        <v>46</v>
      </c>
      <c r="B20">
        <v>1</v>
      </c>
      <c r="C20" t="s">
        <v>47</v>
      </c>
      <c r="E20" t="s">
        <v>48</v>
      </c>
      <c r="G20">
        <v>2</v>
      </c>
      <c r="H20" t="s">
        <v>152</v>
      </c>
    </row>
    <row r="21" spans="1:8" x14ac:dyDescent="0.2">
      <c r="A21" t="s">
        <v>49</v>
      </c>
      <c r="B21">
        <v>1</v>
      </c>
      <c r="C21" t="s">
        <v>50</v>
      </c>
      <c r="E21" t="s">
        <v>51</v>
      </c>
      <c r="G21">
        <v>2</v>
      </c>
      <c r="H21" t="s">
        <v>143</v>
      </c>
    </row>
    <row r="22" spans="1:8" x14ac:dyDescent="0.2">
      <c r="A22" t="s">
        <v>52</v>
      </c>
      <c r="B22">
        <v>3</v>
      </c>
      <c r="C22" t="s">
        <v>53</v>
      </c>
      <c r="E22" t="s">
        <v>54</v>
      </c>
      <c r="G22">
        <v>10</v>
      </c>
      <c r="H22" t="s">
        <v>154</v>
      </c>
    </row>
    <row r="23" spans="1:8" x14ac:dyDescent="0.2">
      <c r="A23" t="s">
        <v>55</v>
      </c>
      <c r="B23">
        <v>1</v>
      </c>
      <c r="C23" t="s">
        <v>56</v>
      </c>
      <c r="E23" t="s">
        <v>57</v>
      </c>
      <c r="G23">
        <v>2</v>
      </c>
      <c r="H23" t="s">
        <v>153</v>
      </c>
    </row>
    <row r="24" spans="1:8" x14ac:dyDescent="0.2">
      <c r="A24" t="s">
        <v>58</v>
      </c>
      <c r="B24">
        <v>1</v>
      </c>
      <c r="C24" t="s">
        <v>59</v>
      </c>
      <c r="E24" t="s">
        <v>60</v>
      </c>
      <c r="G24">
        <v>10</v>
      </c>
      <c r="H24" t="s">
        <v>138</v>
      </c>
    </row>
    <row r="25" spans="1:8" x14ac:dyDescent="0.2">
      <c r="A25" t="s">
        <v>61</v>
      </c>
      <c r="B25">
        <v>1</v>
      </c>
      <c r="C25" t="s">
        <v>62</v>
      </c>
      <c r="E25" t="s">
        <v>63</v>
      </c>
      <c r="G25">
        <v>2</v>
      </c>
      <c r="H25" t="s">
        <v>146</v>
      </c>
    </row>
    <row r="26" spans="1:8" x14ac:dyDescent="0.2">
      <c r="A26" t="s">
        <v>64</v>
      </c>
      <c r="B26">
        <v>1</v>
      </c>
      <c r="C26" t="s">
        <v>65</v>
      </c>
      <c r="E26" t="s">
        <v>66</v>
      </c>
      <c r="F26">
        <v>100</v>
      </c>
    </row>
    <row r="27" spans="1:8" x14ac:dyDescent="0.2">
      <c r="A27" t="s">
        <v>67</v>
      </c>
      <c r="B27">
        <v>1</v>
      </c>
      <c r="C27" t="s">
        <v>68</v>
      </c>
      <c r="E27" t="s">
        <v>69</v>
      </c>
      <c r="F27">
        <v>100</v>
      </c>
    </row>
    <row r="28" spans="1:8" x14ac:dyDescent="0.2">
      <c r="A28" t="s">
        <v>70</v>
      </c>
      <c r="B28">
        <v>1</v>
      </c>
      <c r="C28" t="s">
        <v>71</v>
      </c>
      <c r="E28" t="s">
        <v>72</v>
      </c>
      <c r="F28">
        <v>100</v>
      </c>
    </row>
    <row r="29" spans="1:8" x14ac:dyDescent="0.2">
      <c r="A29" t="s">
        <v>73</v>
      </c>
      <c r="B29">
        <v>1</v>
      </c>
      <c r="C29" t="s">
        <v>74</v>
      </c>
      <c r="E29" t="s">
        <v>75</v>
      </c>
      <c r="F29">
        <v>100</v>
      </c>
    </row>
    <row r="30" spans="1:8" x14ac:dyDescent="0.2">
      <c r="A30" t="s">
        <v>76</v>
      </c>
      <c r="B30">
        <v>1</v>
      </c>
      <c r="C30" t="s">
        <v>77</v>
      </c>
      <c r="E30" t="s">
        <v>78</v>
      </c>
      <c r="F30">
        <v>100</v>
      </c>
    </row>
    <row r="31" spans="1:8" x14ac:dyDescent="0.2">
      <c r="A31" t="s">
        <v>79</v>
      </c>
      <c r="B31">
        <v>2</v>
      </c>
      <c r="C31" t="s">
        <v>80</v>
      </c>
      <c r="E31" t="s">
        <v>81</v>
      </c>
      <c r="G31">
        <v>4</v>
      </c>
      <c r="H31" t="s">
        <v>147</v>
      </c>
    </row>
    <row r="32" spans="1:8" x14ac:dyDescent="0.2">
      <c r="A32" t="s">
        <v>82</v>
      </c>
      <c r="B32">
        <v>1</v>
      </c>
      <c r="C32" t="s">
        <v>83</v>
      </c>
      <c r="E32" t="s">
        <v>84</v>
      </c>
      <c r="F32">
        <v>100</v>
      </c>
    </row>
    <row r="33" spans="1:8" x14ac:dyDescent="0.2">
      <c r="A33" t="s">
        <v>85</v>
      </c>
      <c r="B33">
        <v>2</v>
      </c>
      <c r="C33" t="s">
        <v>86</v>
      </c>
      <c r="E33" t="s">
        <v>87</v>
      </c>
      <c r="F33">
        <v>100</v>
      </c>
    </row>
    <row r="34" spans="1:8" x14ac:dyDescent="0.2">
      <c r="A34" t="s">
        <v>88</v>
      </c>
      <c r="B34">
        <v>1</v>
      </c>
      <c r="C34" t="s">
        <v>89</v>
      </c>
      <c r="E34" t="s">
        <v>90</v>
      </c>
      <c r="F34">
        <v>10</v>
      </c>
    </row>
    <row r="35" spans="1:8" x14ac:dyDescent="0.2">
      <c r="A35" t="s">
        <v>91</v>
      </c>
      <c r="B35">
        <v>1</v>
      </c>
      <c r="C35" t="s">
        <v>92</v>
      </c>
      <c r="E35" t="s">
        <v>93</v>
      </c>
      <c r="G35">
        <v>2</v>
      </c>
      <c r="H35" t="s">
        <v>155</v>
      </c>
    </row>
    <row r="36" spans="1:8" x14ac:dyDescent="0.2">
      <c r="A36" t="s">
        <v>94</v>
      </c>
      <c r="B36">
        <v>1</v>
      </c>
      <c r="C36" t="s">
        <v>95</v>
      </c>
      <c r="E36" t="s">
        <v>96</v>
      </c>
      <c r="F36">
        <v>100</v>
      </c>
    </row>
    <row r="37" spans="1:8" x14ac:dyDescent="0.2">
      <c r="A37" t="s">
        <v>97</v>
      </c>
      <c r="B37">
        <v>4</v>
      </c>
      <c r="C37" t="s">
        <v>98</v>
      </c>
      <c r="D37" t="s">
        <v>3</v>
      </c>
      <c r="E37" t="s">
        <v>99</v>
      </c>
      <c r="F37">
        <v>100</v>
      </c>
    </row>
    <row r="38" spans="1:8" x14ac:dyDescent="0.2">
      <c r="A38" t="s">
        <v>100</v>
      </c>
      <c r="B38">
        <v>1</v>
      </c>
      <c r="C38" t="s">
        <v>101</v>
      </c>
      <c r="E38" t="s">
        <v>102</v>
      </c>
      <c r="F38">
        <v>100</v>
      </c>
    </row>
    <row r="39" spans="1:8" x14ac:dyDescent="0.2">
      <c r="A39" t="s">
        <v>103</v>
      </c>
      <c r="B39">
        <v>1</v>
      </c>
      <c r="C39" t="s">
        <v>104</v>
      </c>
      <c r="E39" t="s">
        <v>105</v>
      </c>
      <c r="G39">
        <v>2</v>
      </c>
      <c r="H39" t="s">
        <v>141</v>
      </c>
    </row>
    <row r="40" spans="1:8" x14ac:dyDescent="0.2">
      <c r="A40" t="s">
        <v>106</v>
      </c>
      <c r="B40">
        <v>2</v>
      </c>
      <c r="C40" t="s">
        <v>107</v>
      </c>
      <c r="E40" t="s">
        <v>96</v>
      </c>
      <c r="F40">
        <v>100</v>
      </c>
    </row>
    <row r="41" spans="1:8" x14ac:dyDescent="0.2">
      <c r="A41" t="s">
        <v>108</v>
      </c>
      <c r="B41">
        <v>1</v>
      </c>
      <c r="C41" t="s">
        <v>109</v>
      </c>
      <c r="E41" t="s">
        <v>110</v>
      </c>
      <c r="G41">
        <v>5</v>
      </c>
      <c r="H41" t="s">
        <v>165</v>
      </c>
    </row>
    <row r="42" spans="1:8" x14ac:dyDescent="0.2">
      <c r="A42" t="s">
        <v>111</v>
      </c>
      <c r="B42">
        <v>1</v>
      </c>
      <c r="C42" t="s">
        <v>112</v>
      </c>
      <c r="E42" t="s">
        <v>113</v>
      </c>
      <c r="G42">
        <v>2</v>
      </c>
      <c r="H42" t="s">
        <v>145</v>
      </c>
    </row>
    <row r="43" spans="1:8" x14ac:dyDescent="0.2">
      <c r="A43" t="s">
        <v>114</v>
      </c>
      <c r="B43">
        <v>2</v>
      </c>
      <c r="C43" t="s">
        <v>115</v>
      </c>
      <c r="E43" t="s">
        <v>116</v>
      </c>
      <c r="G43">
        <v>4</v>
      </c>
      <c r="H43" t="s">
        <v>148</v>
      </c>
    </row>
    <row r="44" spans="1:8" x14ac:dyDescent="0.2">
      <c r="A44" t="s">
        <v>166</v>
      </c>
      <c r="B44">
        <v>13</v>
      </c>
      <c r="C44" t="s">
        <v>117</v>
      </c>
      <c r="E44" t="s">
        <v>118</v>
      </c>
      <c r="F44">
        <f>100-13</f>
        <v>87</v>
      </c>
    </row>
    <row r="45" spans="1:8" x14ac:dyDescent="0.2">
      <c r="A45" t="s">
        <v>119</v>
      </c>
      <c r="B45">
        <v>5</v>
      </c>
      <c r="C45">
        <v>0</v>
      </c>
      <c r="D45" t="s">
        <v>3</v>
      </c>
      <c r="E45" t="s">
        <v>118</v>
      </c>
      <c r="F45">
        <f>100-7</f>
        <v>93</v>
      </c>
    </row>
    <row r="46" spans="1:8" x14ac:dyDescent="0.2">
      <c r="A46" t="s">
        <v>120</v>
      </c>
      <c r="B46">
        <v>8</v>
      </c>
      <c r="C46">
        <v>0</v>
      </c>
      <c r="E46" t="s">
        <v>118</v>
      </c>
      <c r="F46">
        <f>100-7</f>
        <v>93</v>
      </c>
    </row>
    <row r="47" spans="1:8" x14ac:dyDescent="0.2">
      <c r="A47" t="s">
        <v>121</v>
      </c>
      <c r="B47">
        <v>2</v>
      </c>
      <c r="C47" t="s">
        <v>122</v>
      </c>
      <c r="E47" t="s">
        <v>118</v>
      </c>
      <c r="F47">
        <f>100-2</f>
        <v>98</v>
      </c>
    </row>
    <row r="48" spans="1:8" x14ac:dyDescent="0.2">
      <c r="A48" t="s">
        <v>168</v>
      </c>
      <c r="B48">
        <v>3</v>
      </c>
      <c r="C48" t="s">
        <v>123</v>
      </c>
      <c r="E48" t="s">
        <v>118</v>
      </c>
      <c r="F48">
        <v>0</v>
      </c>
      <c r="G48">
        <v>10</v>
      </c>
      <c r="H48" s="1" t="s">
        <v>170</v>
      </c>
    </row>
    <row r="49" spans="1:8" x14ac:dyDescent="0.2">
      <c r="A49" t="s">
        <v>124</v>
      </c>
      <c r="B49">
        <v>24</v>
      </c>
      <c r="C49">
        <v>6.2</v>
      </c>
      <c r="E49" t="s">
        <v>118</v>
      </c>
      <c r="F49">
        <v>0</v>
      </c>
      <c r="G49">
        <v>100</v>
      </c>
      <c r="H49" t="s">
        <v>169</v>
      </c>
    </row>
    <row r="50" spans="1:8" x14ac:dyDescent="0.2">
      <c r="A50" t="s">
        <v>125</v>
      </c>
      <c r="B50">
        <v>2</v>
      </c>
      <c r="C50" t="s">
        <v>126</v>
      </c>
      <c r="E50" t="s">
        <v>127</v>
      </c>
      <c r="F50">
        <v>100</v>
      </c>
    </row>
    <row r="51" spans="1:8" x14ac:dyDescent="0.2">
      <c r="A51" t="s">
        <v>128</v>
      </c>
      <c r="B51">
        <v>25</v>
      </c>
      <c r="C51" t="s">
        <v>129</v>
      </c>
      <c r="E51" t="s">
        <v>130</v>
      </c>
      <c r="F51">
        <v>100</v>
      </c>
    </row>
    <row r="52" spans="1:8" x14ac:dyDescent="0.2">
      <c r="A52" t="s">
        <v>131</v>
      </c>
      <c r="B52">
        <v>1</v>
      </c>
      <c r="C52" t="s">
        <v>132</v>
      </c>
      <c r="E52" t="s">
        <v>133</v>
      </c>
      <c r="G52">
        <v>2</v>
      </c>
      <c r="H52" t="s">
        <v>150</v>
      </c>
    </row>
    <row r="53" spans="1:8" x14ac:dyDescent="0.2">
      <c r="A53" t="s">
        <v>134</v>
      </c>
      <c r="B53">
        <v>1</v>
      </c>
      <c r="C53" t="s">
        <v>135</v>
      </c>
      <c r="E53" t="s">
        <v>136</v>
      </c>
      <c r="G53">
        <v>2</v>
      </c>
      <c r="H53" t="s">
        <v>151</v>
      </c>
    </row>
  </sheetData>
  <conditionalFormatting sqref="F2:F53">
    <cfRule type="expression" dxfId="3" priority="2" stopIfTrue="1">
      <formula>OR(F2=0,F2="")</formula>
    </cfRule>
  </conditionalFormatting>
  <conditionalFormatting sqref="G2:G53">
    <cfRule type="expression" dxfId="2" priority="1">
      <formula>AND(G2="",OR(F2="",F2=0))</formula>
    </cfRule>
  </conditionalFormatting>
  <hyperlinks>
    <hyperlink ref="H8" r:id="rId1" xr:uid="{397C3629-9DE7-C74C-95E2-0381D7B56B0C}"/>
    <hyperlink ref="H10" r:id="rId2" xr:uid="{71ADF5F3-D797-6443-8053-744752270DC8}"/>
    <hyperlink ref="H18" r:id="rId3" xr:uid="{05AB1039-4CA5-2442-9956-02352E25E08F}"/>
    <hyperlink ref="H48" r:id="rId4" xr:uid="{5BA900E5-3BDA-804B-96D6-B49E48E27EC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bom_layout_v4.2_mouser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Capgras</cp:lastModifiedBy>
  <dcterms:created xsi:type="dcterms:W3CDTF">2026-03-17T18:01:08Z</dcterms:created>
  <dcterms:modified xsi:type="dcterms:W3CDTF">2026-03-17T20:33:56Z</dcterms:modified>
</cp:coreProperties>
</file>